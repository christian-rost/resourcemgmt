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/>
  <workbookPr filterPrivacy="1" defaultThemeVersion="124226"/>
  <xr:revisionPtr revIDLastSave="0" documentId="8_{CF281C8C-EF4B-43A8-87C8-57EC51704479}" xr6:coauthVersionLast="47" xr6:coauthVersionMax="47" xr10:uidLastSave="{00000000-0000-0000-0000-000000000000}"/>
  <bookViews>
    <workbookView xWindow="3090" yWindow="1635" windowWidth="34335" windowHeight="19245" xr2:uid="{00000000-000D-0000-FFFF-FFFF00000000}"/>
  </bookViews>
  <sheets>
    <sheet name="XQT5-LN" sheetId="6" r:id="rId1"/>
    <sheet name="Fak.RK" sheetId="7" r:id="rId2"/>
  </sheets>
  <definedNames>
    <definedName name="_xlnm.Print_Area" localSheetId="1">Fak.RK!$A$1:$K$32</definedName>
    <definedName name="_xlnm.Print_Area" localSheetId="0">'XQT5-LN'!$A$1:$H$50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7" l="1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14" i="6"/>
  <c r="G27" i="7"/>
  <c r="H27" i="7"/>
  <c r="I27" i="7"/>
  <c r="J27" i="7"/>
  <c r="B14" i="6"/>
  <c r="A14" i="6" s="1"/>
  <c r="K27" i="7" l="1"/>
  <c r="K5" i="7"/>
  <c r="H45" i="6"/>
  <c r="B15" i="6"/>
  <c r="A15" i="6" l="1"/>
  <c r="B16" i="6"/>
  <c r="B17" i="6" l="1"/>
  <c r="A16" i="6"/>
  <c r="B18" i="6" l="1"/>
  <c r="A17" i="6"/>
  <c r="B19" i="6" l="1"/>
  <c r="A18" i="6"/>
  <c r="A19" i="6" l="1"/>
  <c r="B20" i="6"/>
  <c r="B21" i="6" l="1"/>
  <c r="A20" i="6"/>
  <c r="B22" i="6" l="1"/>
  <c r="A21" i="6"/>
  <c r="A22" i="6" l="1"/>
  <c r="B23" i="6"/>
  <c r="B24" i="6" l="1"/>
  <c r="A23" i="6"/>
  <c r="B25" i="6" l="1"/>
  <c r="A24" i="6"/>
  <c r="B26" i="6" l="1"/>
  <c r="A25" i="6"/>
  <c r="A26" i="6" l="1"/>
  <c r="B27" i="6"/>
  <c r="A27" i="6" l="1"/>
  <c r="B28" i="6"/>
  <c r="A28" i="6" l="1"/>
  <c r="B29" i="6"/>
  <c r="A29" i="6" l="1"/>
  <c r="B30" i="6"/>
  <c r="B31" i="6" l="1"/>
  <c r="A30" i="6"/>
  <c r="A31" i="6" l="1"/>
  <c r="B32" i="6"/>
  <c r="B33" i="6" l="1"/>
  <c r="A32" i="6"/>
  <c r="B34" i="6" l="1"/>
  <c r="A33" i="6"/>
  <c r="B35" i="6" l="1"/>
  <c r="A34" i="6"/>
  <c r="A35" i="6" l="1"/>
  <c r="B36" i="6"/>
  <c r="B37" i="6" l="1"/>
  <c r="A36" i="6"/>
  <c r="A37" i="6" l="1"/>
  <c r="B38" i="6"/>
  <c r="A38" i="6" l="1"/>
  <c r="B39" i="6"/>
  <c r="B40" i="6" l="1"/>
  <c r="A39" i="6"/>
  <c r="B41" i="6" l="1"/>
  <c r="A40" i="6"/>
  <c r="B42" i="6" l="1"/>
  <c r="A41" i="6"/>
  <c r="B43" i="6" l="1"/>
  <c r="A42" i="6"/>
  <c r="A43" i="6" l="1"/>
  <c r="B44" i="6"/>
  <c r="A44" i="6" s="1"/>
</calcChain>
</file>

<file path=xl/sharedStrings.xml><?xml version="1.0" encoding="utf-8"?>
<sst xmlns="http://schemas.openxmlformats.org/spreadsheetml/2006/main" count="38" uniqueCount="35">
  <si>
    <t>Leistungsnachweis für:</t>
  </si>
  <si>
    <t>Kunde:</t>
  </si>
  <si>
    <t>Projekt:</t>
  </si>
  <si>
    <t>Monat:</t>
  </si>
  <si>
    <t>Leistungs
-zeit</t>
  </si>
  <si>
    <t>Datum</t>
  </si>
  <si>
    <t>Ort</t>
  </si>
  <si>
    <t>Tätigkeit</t>
  </si>
  <si>
    <t>Start</t>
  </si>
  <si>
    <t>Ende</t>
  </si>
  <si>
    <t>Pause</t>
  </si>
  <si>
    <t>Gesamt [h]</t>
  </si>
  <si>
    <t>Summe (in Stunden)</t>
  </si>
  <si>
    <t>Datum &amp; Unterschrift Kunde:</t>
  </si>
  <si>
    <t>Projekt</t>
  </si>
  <si>
    <t>Fahrtstrecke Start/Ziel</t>
  </si>
  <si>
    <t>km</t>
  </si>
  <si>
    <t>in Euro</t>
  </si>
  <si>
    <t>Tagessatz Spesen</t>
  </si>
  <si>
    <t>Hotel Netto-betrag</t>
  </si>
  <si>
    <t>Sonstige</t>
  </si>
  <si>
    <t>Summe</t>
  </si>
  <si>
    <t>Wir erlauben uns, die oben aufgeführten Spesen wie im Angebot abgestimmt in Rechnung zu stellen.</t>
  </si>
  <si>
    <t xml:space="preserve">Kunde: </t>
  </si>
  <si>
    <t>Kundenname</t>
  </si>
  <si>
    <t>Vorname Name Kunde (Fachbereich)</t>
  </si>
  <si>
    <t>Vorname Name (XQT5 GmbH)</t>
  </si>
  <si>
    <t>XQT5 GmbH:</t>
  </si>
  <si>
    <t>Vorname Name</t>
  </si>
  <si>
    <t>Darmstadt</t>
  </si>
  <si>
    <t>Heidelberg - Darmstadt</t>
  </si>
  <si>
    <t>Retained Orga</t>
  </si>
  <si>
    <t>Projektnr.</t>
  </si>
  <si>
    <t>Projektnummer, Projektname und Auftragsnummer</t>
  </si>
  <si>
    <t>Spesenübersicht Vorname Name
Kunde: Vollständiger Kundenname, Straße Hausnummer, PLZ Stadt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</si>
</sst>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#,##0.00\ &quot;€&quot;;[Red]\-#,##0.00\ &quot;€&quot;"/>
    <numFmt numFmtId="164" formatCode="[$-407]ddd"/>
  </numFmts>
  <fonts count="6" x14ac:knownFonts="1">
    <font>
      <sz val="11"/>
      <color theme="1"/>
      <name val="Calibri"/>
      <family val="2"/>
      <scheme val="minor"/>
    </font>
    <font>
      <sz val="9"/>
      <color theme="1"/>
      <name val="Segoe UI"/>
      <family val="2"/>
    </font>
    <font>
      <b/>
      <sz val="9"/>
      <color theme="1"/>
      <name val="Segoe UI"/>
      <family val="2"/>
    </font>
    <font>
      <b/>
      <sz val="9"/>
      <name val="Segoe UI"/>
      <family val="2"/>
    </font>
    <font>
      <sz val="9"/>
      <name val="Segoe UI"/>
      <family val="2"/>
    </font>
    <font>
      <b/>
      <sz val="9"/>
      <color theme="0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E5E8EB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17" fontId="2" fillId="0" borderId="0" xfId="0" applyNumberFormat="1" applyFont="1" applyAlignment="1">
      <alignment horizontal="left"/>
    </xf>
    <xf numFmtId="0" fontId="2" fillId="2" borderId="9" xfId="0" applyFont="1" applyFill="1" applyBorder="1" applyAlignment="1">
      <alignment vertical="center"/>
    </xf>
    <xf numFmtId="0" fontId="3" fillId="2" borderId="10" xfId="0" applyFont="1" applyFill="1" applyBorder="1" applyAlignment="1">
      <alignment vertical="center"/>
    </xf>
    <xf numFmtId="0" fontId="3" fillId="2" borderId="10" xfId="0" applyFont="1" applyFill="1" applyBorder="1" applyAlignment="1">
      <alignment horizontal="left" vertical="center"/>
    </xf>
    <xf numFmtId="17" fontId="3" fillId="2" borderId="10" xfId="0" applyNumberFormat="1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2" fillId="2" borderId="12" xfId="0" applyFont="1" applyFill="1" applyBorder="1"/>
    <xf numFmtId="0" fontId="3" fillId="2" borderId="4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164" fontId="1" fillId="0" borderId="1" xfId="0" applyNumberFormat="1" applyFont="1" applyBorder="1"/>
    <xf numFmtId="14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left"/>
    </xf>
    <xf numFmtId="20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49" fontId="1" fillId="0" borderId="1" xfId="0" applyNumberFormat="1" applyFont="1" applyBorder="1" applyAlignment="1">
      <alignment horizontal="left" wrapText="1"/>
    </xf>
    <xf numFmtId="0" fontId="1" fillId="0" borderId="1" xfId="0" applyFont="1" applyBorder="1" applyAlignment="1">
      <alignment horizontal="left" wrapText="1"/>
    </xf>
    <xf numFmtId="0" fontId="1" fillId="0" borderId="2" xfId="0" applyFont="1" applyBorder="1"/>
    <xf numFmtId="0" fontId="1" fillId="2" borderId="12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4" fillId="2" borderId="4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left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1" fillId="2" borderId="2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 wrapText="1"/>
    </xf>
    <xf numFmtId="0" fontId="1" fillId="2" borderId="5" xfId="0" applyFont="1" applyFill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8" fontId="1" fillId="0" borderId="1" xfId="0" applyNumberFormat="1" applyFont="1" applyBorder="1" applyAlignment="1">
      <alignment horizontal="center"/>
    </xf>
    <xf numFmtId="8" fontId="1" fillId="0" borderId="3" xfId="0" applyNumberFormat="1" applyFont="1" applyBorder="1" applyAlignment="1">
      <alignment horizontal="center"/>
    </xf>
    <xf numFmtId="14" fontId="1" fillId="0" borderId="8" xfId="0" applyNumberFormat="1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7" xfId="0" applyFont="1" applyBorder="1" applyAlignment="1">
      <alignment horizontal="center"/>
    </xf>
    <xf numFmtId="8" fontId="1" fillId="0" borderId="7" xfId="0" applyNumberFormat="1" applyFont="1" applyBorder="1" applyAlignment="1">
      <alignment horizontal="center"/>
    </xf>
    <xf numFmtId="8" fontId="1" fillId="0" borderId="6" xfId="0" applyNumberFormat="1" applyFont="1" applyBorder="1" applyAlignment="1">
      <alignment horizontal="center"/>
    </xf>
    <xf numFmtId="0" fontId="1" fillId="0" borderId="4" xfId="0" applyFont="1" applyBorder="1"/>
    <xf numFmtId="0" fontId="3" fillId="2" borderId="1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</cellXfs>
  <cellStyles count="1">
    <cellStyle name="Standard" xfId="0" builtinId="0"/>
  </cellStyles>
  <dxfs count="5"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Medium9"/>
  <colors>
    <mruColors>
      <color rgb="FFE5E8EB"/>
      <color rgb="FF0000FF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ba147883-a130-47fb-b61a-335a6f417360@DEUP281.PROD.OUTLOOK.COM" TargetMode="Externa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ba147883-a130-47fb-b61a-335a6f417360@DEUP281.PROD.OUTLOOK.COM" TargetMode="External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1</xdr:row>
      <xdr:rowOff>34636</xdr:rowOff>
    </xdr:from>
    <xdr:to>
      <xdr:col>2</xdr:col>
      <xdr:colOff>399935</xdr:colOff>
      <xdr:row>3</xdr:row>
      <xdr:rowOff>127866</xdr:rowOff>
    </xdr:to>
    <xdr:pic>
      <xdr:nvPicPr>
        <xdr:cNvPr id="3" name="Grafik 2" descr="Ein Bild, das Schrift, Logo, Text, Grafiken enthält.&#10;&#10;KI-generierte Inhalte können fehlerhaft sein.">
          <a:extLst>
            <a:ext uri="{FF2B5EF4-FFF2-40B4-BE49-F238E27FC236}">
              <a16:creationId xmlns:a16="http://schemas.microsoft.com/office/drawing/2014/main" id="{1891DE51-F195-11AB-F0E0-7BA7632076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225136"/>
          <a:ext cx="1119505" cy="422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1</xdr:row>
      <xdr:rowOff>123825</xdr:rowOff>
    </xdr:from>
    <xdr:to>
      <xdr:col>1</xdr:col>
      <xdr:colOff>513022</xdr:colOff>
      <xdr:row>1</xdr:row>
      <xdr:rowOff>549910</xdr:rowOff>
    </xdr:to>
    <xdr:pic>
      <xdr:nvPicPr>
        <xdr:cNvPr id="2" name="Grafik 1" descr="Ein Bild, das Schrift, Logo, Text, Grafiken enthält.&#10;&#10;KI-generierte Inhalte können fehlerhaft sein.">
          <a:extLst>
            <a:ext uri="{FF2B5EF4-FFF2-40B4-BE49-F238E27FC236}">
              <a16:creationId xmlns:a16="http://schemas.microsoft.com/office/drawing/2014/main" id="{A99CCC41-72D7-5E5C-64FB-A242D5CF3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19075"/>
          <a:ext cx="1117600" cy="42037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7:I50"/>
  <sheetViews>
    <sheetView showGridLines="0" tabSelected="1" zoomScale="110" zoomScaleNormal="110" workbookViewId="0">
      <selection activeCell="L23" sqref="L23"/>
    </sheetView>
  </sheetViews>
  <sheetFormatPr baseColWidth="10" defaultColWidth="11.42578125" defaultRowHeight="12" x14ac:dyDescent="0.2"/>
  <cols>
    <col min="1" max="1" width="4.28515625" style="1" customWidth="1"/>
    <col min="2" max="2" width="10.28515625" style="1" customWidth="1"/>
    <col min="3" max="3" width="13.28515625" style="2" customWidth="1"/>
    <col min="4" max="4" width="41.7109375" style="2" customWidth="1"/>
    <col min="5" max="7" width="8.28515625" style="2" customWidth="1"/>
    <col min="8" max="8" width="12.5703125" style="2" customWidth="1"/>
    <col min="9" max="16384" width="11.42578125" style="1"/>
  </cols>
  <sheetData>
    <row r="7" spans="1:8" x14ac:dyDescent="0.2">
      <c r="B7" s="1" t="s">
        <v>0</v>
      </c>
      <c r="D7" s="3" t="s">
        <v>26</v>
      </c>
    </row>
    <row r="8" spans="1:8" x14ac:dyDescent="0.2">
      <c r="B8" s="1" t="s">
        <v>1</v>
      </c>
      <c r="D8" s="3" t="s">
        <v>24</v>
      </c>
    </row>
    <row r="9" spans="1:8" x14ac:dyDescent="0.2">
      <c r="B9" s="1" t="s">
        <v>2</v>
      </c>
      <c r="D9" s="3" t="s">
        <v>33</v>
      </c>
    </row>
    <row r="10" spans="1:8" x14ac:dyDescent="0.2">
      <c r="B10" s="1" t="s">
        <v>3</v>
      </c>
      <c r="D10" s="4">
        <v>45901</v>
      </c>
    </row>
    <row r="12" spans="1:8" s="10" customFormat="1" ht="24" x14ac:dyDescent="0.25">
      <c r="A12" s="5"/>
      <c r="B12" s="6"/>
      <c r="C12" s="7"/>
      <c r="D12" s="8"/>
      <c r="E12" s="46"/>
      <c r="F12" s="46"/>
      <c r="G12" s="46"/>
      <c r="H12" s="9" t="s">
        <v>4</v>
      </c>
    </row>
    <row r="13" spans="1:8" x14ac:dyDescent="0.2">
      <c r="A13" s="11"/>
      <c r="B13" s="12" t="s">
        <v>5</v>
      </c>
      <c r="C13" s="12" t="s">
        <v>6</v>
      </c>
      <c r="D13" s="12" t="s">
        <v>7</v>
      </c>
      <c r="E13" s="12" t="s">
        <v>8</v>
      </c>
      <c r="F13" s="12" t="s">
        <v>9</v>
      </c>
      <c r="G13" s="12" t="s">
        <v>10</v>
      </c>
      <c r="H13" s="13" t="s">
        <v>11</v>
      </c>
    </row>
    <row r="14" spans="1:8" x14ac:dyDescent="0.2">
      <c r="A14" s="14">
        <f>WEEKDAY(B14)</f>
        <v>2</v>
      </c>
      <c r="B14" s="15">
        <f>D10</f>
        <v>45901</v>
      </c>
      <c r="C14" s="16"/>
      <c r="D14" s="16"/>
      <c r="E14" s="17">
        <v>0.375</v>
      </c>
      <c r="F14" s="17">
        <v>0.58333333333333337</v>
      </c>
      <c r="G14" s="17">
        <v>4.1666666666666664E-2</v>
      </c>
      <c r="H14" s="18">
        <f>(F14-E14-G14)*24</f>
        <v>4.0000000000000009</v>
      </c>
    </row>
    <row r="15" spans="1:8" x14ac:dyDescent="0.2">
      <c r="A15" s="14">
        <f t="shared" ref="A15:A44" si="0">WEEKDAY(B15)</f>
        <v>3</v>
      </c>
      <c r="B15" s="15">
        <f>B14+1</f>
        <v>45902</v>
      </c>
      <c r="C15" s="16"/>
      <c r="D15" s="16"/>
      <c r="E15" s="17"/>
      <c r="F15" s="17"/>
      <c r="G15" s="17"/>
      <c r="H15" s="18">
        <f t="shared" ref="H15:H44" si="1">(F15-E15-G15)*24</f>
        <v>0</v>
      </c>
    </row>
    <row r="16" spans="1:8" x14ac:dyDescent="0.2">
      <c r="A16" s="14">
        <f t="shared" si="0"/>
        <v>4</v>
      </c>
      <c r="B16" s="15">
        <f t="shared" ref="B16:B44" si="2">B15+1</f>
        <v>45903</v>
      </c>
      <c r="C16" s="16"/>
      <c r="D16" s="16"/>
      <c r="E16" s="17"/>
      <c r="F16" s="17"/>
      <c r="G16" s="17"/>
      <c r="H16" s="18">
        <f t="shared" si="1"/>
        <v>0</v>
      </c>
    </row>
    <row r="17" spans="1:9" ht="14.85" customHeight="1" x14ac:dyDescent="0.2">
      <c r="A17" s="14">
        <f t="shared" si="0"/>
        <v>5</v>
      </c>
      <c r="B17" s="15">
        <f t="shared" si="2"/>
        <v>45904</v>
      </c>
      <c r="C17" s="19"/>
      <c r="D17" s="20"/>
      <c r="E17" s="17"/>
      <c r="F17" s="17"/>
      <c r="G17" s="17"/>
      <c r="H17" s="18">
        <f t="shared" si="1"/>
        <v>0</v>
      </c>
    </row>
    <row r="18" spans="1:9" x14ac:dyDescent="0.2">
      <c r="A18" s="14">
        <f t="shared" si="0"/>
        <v>6</v>
      </c>
      <c r="B18" s="15">
        <f t="shared" si="2"/>
        <v>45905</v>
      </c>
      <c r="C18" s="16"/>
      <c r="D18" s="20"/>
      <c r="E18" s="17"/>
      <c r="F18" s="17"/>
      <c r="G18" s="17"/>
      <c r="H18" s="18">
        <f t="shared" si="1"/>
        <v>0</v>
      </c>
    </row>
    <row r="19" spans="1:9" x14ac:dyDescent="0.2">
      <c r="A19" s="14">
        <f t="shared" si="0"/>
        <v>7</v>
      </c>
      <c r="B19" s="15">
        <f t="shared" si="2"/>
        <v>45906</v>
      </c>
      <c r="C19" s="16"/>
      <c r="D19" s="16"/>
      <c r="E19" s="17"/>
      <c r="F19" s="17"/>
      <c r="G19" s="17"/>
      <c r="H19" s="18">
        <f t="shared" si="1"/>
        <v>0</v>
      </c>
    </row>
    <row r="20" spans="1:9" x14ac:dyDescent="0.2">
      <c r="A20" s="14">
        <f t="shared" si="0"/>
        <v>1</v>
      </c>
      <c r="B20" s="15">
        <f t="shared" si="2"/>
        <v>45907</v>
      </c>
      <c r="C20" s="16"/>
      <c r="D20" s="16"/>
      <c r="E20" s="17"/>
      <c r="F20" s="17"/>
      <c r="G20" s="17"/>
      <c r="H20" s="18">
        <f t="shared" si="1"/>
        <v>0</v>
      </c>
    </row>
    <row r="21" spans="1:9" x14ac:dyDescent="0.2">
      <c r="A21" s="14">
        <f t="shared" si="0"/>
        <v>2</v>
      </c>
      <c r="B21" s="15">
        <f t="shared" si="2"/>
        <v>45908</v>
      </c>
      <c r="C21" s="16"/>
      <c r="D21" s="16"/>
      <c r="E21" s="17"/>
      <c r="F21" s="17"/>
      <c r="G21" s="17"/>
      <c r="H21" s="18">
        <f t="shared" si="1"/>
        <v>0</v>
      </c>
    </row>
    <row r="22" spans="1:9" x14ac:dyDescent="0.2">
      <c r="A22" s="14">
        <f t="shared" si="0"/>
        <v>3</v>
      </c>
      <c r="B22" s="15">
        <f t="shared" si="2"/>
        <v>45909</v>
      </c>
      <c r="C22" s="16"/>
      <c r="D22" s="20"/>
      <c r="E22" s="17"/>
      <c r="F22" s="17"/>
      <c r="G22" s="17"/>
      <c r="H22" s="18">
        <f t="shared" si="1"/>
        <v>0</v>
      </c>
    </row>
    <row r="23" spans="1:9" x14ac:dyDescent="0.2">
      <c r="A23" s="14">
        <f t="shared" si="0"/>
        <v>4</v>
      </c>
      <c r="B23" s="15">
        <f t="shared" si="2"/>
        <v>45910</v>
      </c>
      <c r="C23" s="16"/>
      <c r="D23" s="16"/>
      <c r="E23" s="17"/>
      <c r="F23" s="17"/>
      <c r="G23" s="17"/>
      <c r="H23" s="18">
        <f t="shared" si="1"/>
        <v>0</v>
      </c>
    </row>
    <row r="24" spans="1:9" x14ac:dyDescent="0.2">
      <c r="A24" s="14">
        <f t="shared" si="0"/>
        <v>5</v>
      </c>
      <c r="B24" s="15">
        <f t="shared" si="2"/>
        <v>45911</v>
      </c>
      <c r="C24" s="16"/>
      <c r="D24" s="16"/>
      <c r="E24" s="17"/>
      <c r="F24" s="17"/>
      <c r="G24" s="17"/>
      <c r="H24" s="18">
        <f t="shared" si="1"/>
        <v>0</v>
      </c>
    </row>
    <row r="25" spans="1:9" x14ac:dyDescent="0.2">
      <c r="A25" s="14">
        <f t="shared" si="0"/>
        <v>6</v>
      </c>
      <c r="B25" s="15">
        <f t="shared" si="2"/>
        <v>45912</v>
      </c>
      <c r="C25" s="16"/>
      <c r="D25" s="16"/>
      <c r="E25" s="17"/>
      <c r="F25" s="17"/>
      <c r="G25" s="17"/>
      <c r="H25" s="18">
        <f t="shared" si="1"/>
        <v>0</v>
      </c>
    </row>
    <row r="26" spans="1:9" x14ac:dyDescent="0.2">
      <c r="A26" s="14">
        <f t="shared" si="0"/>
        <v>7</v>
      </c>
      <c r="B26" s="15">
        <f t="shared" si="2"/>
        <v>45913</v>
      </c>
      <c r="C26" s="16"/>
      <c r="D26" s="16"/>
      <c r="E26" s="17"/>
      <c r="F26" s="17"/>
      <c r="G26" s="17"/>
      <c r="H26" s="18">
        <f t="shared" si="1"/>
        <v>0</v>
      </c>
    </row>
    <row r="27" spans="1:9" x14ac:dyDescent="0.2">
      <c r="A27" s="14">
        <f t="shared" si="0"/>
        <v>1</v>
      </c>
      <c r="B27" s="15">
        <f t="shared" si="2"/>
        <v>45914</v>
      </c>
      <c r="C27" s="16"/>
      <c r="D27" s="16"/>
      <c r="E27" s="17"/>
      <c r="F27" s="17"/>
      <c r="G27" s="17"/>
      <c r="H27" s="18">
        <f t="shared" si="1"/>
        <v>0</v>
      </c>
    </row>
    <row r="28" spans="1:9" x14ac:dyDescent="0.2">
      <c r="A28" s="14">
        <f t="shared" si="0"/>
        <v>2</v>
      </c>
      <c r="B28" s="15">
        <f t="shared" si="2"/>
        <v>45915</v>
      </c>
      <c r="C28" s="16"/>
      <c r="D28" s="16"/>
      <c r="E28" s="17"/>
      <c r="F28" s="17"/>
      <c r="G28" s="17"/>
      <c r="H28" s="18">
        <f t="shared" si="1"/>
        <v>0</v>
      </c>
      <c r="I28" s="2"/>
    </row>
    <row r="29" spans="1:9" x14ac:dyDescent="0.2">
      <c r="A29" s="14">
        <f t="shared" si="0"/>
        <v>3</v>
      </c>
      <c r="B29" s="15">
        <f t="shared" si="2"/>
        <v>45916</v>
      </c>
      <c r="C29" s="16"/>
      <c r="D29" s="21"/>
      <c r="E29" s="17"/>
      <c r="F29" s="17"/>
      <c r="G29" s="17"/>
      <c r="H29" s="18">
        <f t="shared" si="1"/>
        <v>0</v>
      </c>
      <c r="I29" s="2"/>
    </row>
    <row r="30" spans="1:9" x14ac:dyDescent="0.2">
      <c r="A30" s="14">
        <f t="shared" si="0"/>
        <v>4</v>
      </c>
      <c r="B30" s="15">
        <f t="shared" si="2"/>
        <v>45917</v>
      </c>
      <c r="C30" s="16"/>
      <c r="D30" s="21"/>
      <c r="E30" s="17"/>
      <c r="F30" s="17"/>
      <c r="G30" s="17"/>
      <c r="H30" s="18">
        <f t="shared" si="1"/>
        <v>0</v>
      </c>
      <c r="I30" s="2"/>
    </row>
    <row r="31" spans="1:9" x14ac:dyDescent="0.2">
      <c r="A31" s="14">
        <f t="shared" si="0"/>
        <v>5</v>
      </c>
      <c r="B31" s="15">
        <f t="shared" si="2"/>
        <v>45918</v>
      </c>
      <c r="C31" s="16"/>
      <c r="D31" s="16"/>
      <c r="E31" s="17"/>
      <c r="F31" s="17"/>
      <c r="G31" s="17"/>
      <c r="H31" s="18">
        <f t="shared" si="1"/>
        <v>0</v>
      </c>
      <c r="I31" s="2"/>
    </row>
    <row r="32" spans="1:9" x14ac:dyDescent="0.2">
      <c r="A32" s="14">
        <f t="shared" si="0"/>
        <v>6</v>
      </c>
      <c r="B32" s="15">
        <f t="shared" si="2"/>
        <v>45919</v>
      </c>
      <c r="C32" s="16"/>
      <c r="D32" s="16"/>
      <c r="E32" s="17"/>
      <c r="F32" s="17"/>
      <c r="G32" s="17"/>
      <c r="H32" s="18">
        <f t="shared" si="1"/>
        <v>0</v>
      </c>
    </row>
    <row r="33" spans="1:9" x14ac:dyDescent="0.2">
      <c r="A33" s="14">
        <f t="shared" si="0"/>
        <v>7</v>
      </c>
      <c r="B33" s="15">
        <f t="shared" si="2"/>
        <v>45920</v>
      </c>
      <c r="C33" s="16"/>
      <c r="D33" s="16"/>
      <c r="E33" s="17"/>
      <c r="F33" s="17"/>
      <c r="G33" s="17"/>
      <c r="H33" s="18">
        <f t="shared" si="1"/>
        <v>0</v>
      </c>
    </row>
    <row r="34" spans="1:9" x14ac:dyDescent="0.2">
      <c r="A34" s="14">
        <f t="shared" si="0"/>
        <v>1</v>
      </c>
      <c r="B34" s="15">
        <f t="shared" si="2"/>
        <v>45921</v>
      </c>
      <c r="C34" s="16"/>
      <c r="D34" s="16"/>
      <c r="E34" s="17"/>
      <c r="F34" s="17"/>
      <c r="G34" s="17"/>
      <c r="H34" s="18">
        <f t="shared" si="1"/>
        <v>0</v>
      </c>
      <c r="I34" s="2"/>
    </row>
    <row r="35" spans="1:9" x14ac:dyDescent="0.2">
      <c r="A35" s="14">
        <f t="shared" si="0"/>
        <v>2</v>
      </c>
      <c r="B35" s="15">
        <f t="shared" si="2"/>
        <v>45922</v>
      </c>
      <c r="C35" s="16"/>
      <c r="D35" s="16"/>
      <c r="E35" s="17"/>
      <c r="F35" s="17"/>
      <c r="G35" s="17"/>
      <c r="H35" s="18">
        <f t="shared" si="1"/>
        <v>0</v>
      </c>
      <c r="I35" s="2"/>
    </row>
    <row r="36" spans="1:9" x14ac:dyDescent="0.2">
      <c r="A36" s="14">
        <f t="shared" si="0"/>
        <v>3</v>
      </c>
      <c r="B36" s="15">
        <f t="shared" si="2"/>
        <v>45923</v>
      </c>
      <c r="C36" s="16"/>
      <c r="D36" s="16"/>
      <c r="E36" s="17"/>
      <c r="F36" s="17"/>
      <c r="G36" s="17"/>
      <c r="H36" s="18">
        <f t="shared" si="1"/>
        <v>0</v>
      </c>
      <c r="I36" s="2"/>
    </row>
    <row r="37" spans="1:9" x14ac:dyDescent="0.2">
      <c r="A37" s="14">
        <f t="shared" si="0"/>
        <v>4</v>
      </c>
      <c r="B37" s="15">
        <f t="shared" si="2"/>
        <v>45924</v>
      </c>
      <c r="C37" s="16"/>
      <c r="D37" s="16"/>
      <c r="E37" s="17"/>
      <c r="F37" s="17"/>
      <c r="G37" s="17"/>
      <c r="H37" s="18">
        <f t="shared" si="1"/>
        <v>0</v>
      </c>
      <c r="I37" s="2"/>
    </row>
    <row r="38" spans="1:9" x14ac:dyDescent="0.2">
      <c r="A38" s="14">
        <f t="shared" si="0"/>
        <v>5</v>
      </c>
      <c r="B38" s="15">
        <f t="shared" si="2"/>
        <v>45925</v>
      </c>
      <c r="C38" s="22"/>
      <c r="D38" s="16"/>
      <c r="E38" s="17"/>
      <c r="F38" s="17"/>
      <c r="G38" s="17"/>
      <c r="H38" s="18">
        <f t="shared" si="1"/>
        <v>0</v>
      </c>
    </row>
    <row r="39" spans="1:9" x14ac:dyDescent="0.2">
      <c r="A39" s="14">
        <f t="shared" si="0"/>
        <v>6</v>
      </c>
      <c r="B39" s="15">
        <f t="shared" si="2"/>
        <v>45926</v>
      </c>
      <c r="C39" s="16"/>
      <c r="D39" s="16"/>
      <c r="E39" s="17"/>
      <c r="F39" s="17"/>
      <c r="G39" s="17"/>
      <c r="H39" s="18">
        <f t="shared" si="1"/>
        <v>0</v>
      </c>
    </row>
    <row r="40" spans="1:9" x14ac:dyDescent="0.2">
      <c r="A40" s="14">
        <f t="shared" si="0"/>
        <v>7</v>
      </c>
      <c r="B40" s="15">
        <f t="shared" si="2"/>
        <v>45927</v>
      </c>
      <c r="C40" s="16"/>
      <c r="D40" s="16"/>
      <c r="E40" s="17"/>
      <c r="F40" s="17"/>
      <c r="G40" s="17"/>
      <c r="H40" s="18">
        <f t="shared" si="1"/>
        <v>0</v>
      </c>
    </row>
    <row r="41" spans="1:9" x14ac:dyDescent="0.2">
      <c r="A41" s="14">
        <f t="shared" si="0"/>
        <v>1</v>
      </c>
      <c r="B41" s="15">
        <f t="shared" si="2"/>
        <v>45928</v>
      </c>
      <c r="C41" s="22"/>
      <c r="D41" s="16"/>
      <c r="E41" s="17"/>
      <c r="F41" s="17"/>
      <c r="G41" s="17"/>
      <c r="H41" s="18">
        <f t="shared" si="1"/>
        <v>0</v>
      </c>
    </row>
    <row r="42" spans="1:9" x14ac:dyDescent="0.2">
      <c r="A42" s="14">
        <f t="shared" si="0"/>
        <v>2</v>
      </c>
      <c r="B42" s="15">
        <f t="shared" si="2"/>
        <v>45929</v>
      </c>
      <c r="C42" s="16"/>
      <c r="D42" s="16"/>
      <c r="E42" s="17"/>
      <c r="F42" s="17"/>
      <c r="G42" s="17"/>
      <c r="H42" s="18">
        <f t="shared" si="1"/>
        <v>0</v>
      </c>
      <c r="I42" s="2"/>
    </row>
    <row r="43" spans="1:9" x14ac:dyDescent="0.2">
      <c r="A43" s="14">
        <f t="shared" si="0"/>
        <v>3</v>
      </c>
      <c r="B43" s="15">
        <f t="shared" si="2"/>
        <v>45930</v>
      </c>
      <c r="C43" s="16"/>
      <c r="D43" s="16"/>
      <c r="E43" s="17"/>
      <c r="F43" s="17"/>
      <c r="G43" s="17"/>
      <c r="H43" s="18">
        <f t="shared" si="1"/>
        <v>0</v>
      </c>
      <c r="I43" s="2"/>
    </row>
    <row r="44" spans="1:9" x14ac:dyDescent="0.2">
      <c r="A44" s="14">
        <f t="shared" si="0"/>
        <v>4</v>
      </c>
      <c r="B44" s="15">
        <f t="shared" si="2"/>
        <v>45931</v>
      </c>
      <c r="C44" s="16"/>
      <c r="D44" s="16"/>
      <c r="E44" s="17"/>
      <c r="F44" s="17"/>
      <c r="G44" s="17"/>
      <c r="H44" s="18">
        <f t="shared" si="1"/>
        <v>0</v>
      </c>
      <c r="I44" s="2"/>
    </row>
    <row r="45" spans="1:9" ht="25.9" customHeight="1" x14ac:dyDescent="0.2">
      <c r="A45" s="23"/>
      <c r="B45" s="24" t="s">
        <v>12</v>
      </c>
      <c r="C45" s="25"/>
      <c r="D45" s="25"/>
      <c r="E45" s="25"/>
      <c r="F45" s="25"/>
      <c r="G45" s="25"/>
      <c r="H45" s="26">
        <f>(SUM(H14:H44))</f>
        <v>4.0000000000000009</v>
      </c>
    </row>
    <row r="49" spans="4:8" x14ac:dyDescent="0.2">
      <c r="D49" s="2" t="s">
        <v>13</v>
      </c>
      <c r="E49" s="27"/>
      <c r="F49" s="27"/>
      <c r="G49" s="27"/>
      <c r="H49" s="27"/>
    </row>
    <row r="50" spans="4:8" x14ac:dyDescent="0.2">
      <c r="E50" s="28" t="s">
        <v>25</v>
      </c>
    </row>
  </sheetData>
  <mergeCells count="1">
    <mergeCell ref="E12:G12"/>
  </mergeCells>
  <conditionalFormatting sqref="A14:A44">
    <cfRule type="cellIs" dxfId="4" priority="4" operator="equal">
      <formula>7</formula>
    </cfRule>
    <cfRule type="cellIs" dxfId="3" priority="6" operator="equal">
      <formula>1</formula>
    </cfRule>
  </conditionalFormatting>
  <conditionalFormatting sqref="B14:B44">
    <cfRule type="expression" dxfId="2" priority="2">
      <formula>$A14=7</formula>
    </cfRule>
    <cfRule type="expression" dxfId="1" priority="3">
      <formula>$A14=1</formula>
    </cfRule>
  </conditionalFormatting>
  <conditionalFormatting sqref="H1:H1048576">
    <cfRule type="cellIs" dxfId="0" priority="1" operator="equal">
      <formula>0</formula>
    </cfRule>
  </conditionalFormatting>
  <pageMargins left="0.19685039370078741" right="0.19685039370078741" top="0.39370078740157483" bottom="0.39370078740157483" header="0.11811023622047245" footer="0.11811023622047245"/>
  <pageSetup paperSize="9" scale="94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K32"/>
  <sheetViews>
    <sheetView showGridLines="0" zoomScale="110" zoomScaleNormal="110" workbookViewId="0">
      <selection activeCell="P13" sqref="P13"/>
    </sheetView>
  </sheetViews>
  <sheetFormatPr baseColWidth="10" defaultColWidth="8.7109375" defaultRowHeight="12" x14ac:dyDescent="0.2"/>
  <cols>
    <col min="1" max="1" width="11" style="1" customWidth="1"/>
    <col min="2" max="2" width="10" style="1" customWidth="1"/>
    <col min="3" max="3" width="8.140625" style="1" bestFit="1" customWidth="1"/>
    <col min="4" max="4" width="19.28515625" style="1" customWidth="1"/>
    <col min="5" max="5" width="21.7109375" style="1" customWidth="1"/>
    <col min="6" max="7" width="7.7109375" style="1" customWidth="1"/>
    <col min="8" max="8" width="9" style="1" customWidth="1"/>
    <col min="9" max="9" width="7.7109375" style="1" customWidth="1"/>
    <col min="10" max="10" width="9.7109375" style="1" customWidth="1"/>
    <col min="11" max="11" width="10.7109375" style="1" customWidth="1"/>
    <col min="12" max="16384" width="8.7109375" style="1"/>
  </cols>
  <sheetData>
    <row r="1" spans="1:11" ht="8.25" customHeight="1" x14ac:dyDescent="0.2"/>
    <row r="2" spans="1:11" ht="52.5" customHeight="1" x14ac:dyDescent="0.2">
      <c r="A2" s="29"/>
      <c r="B2" s="30"/>
      <c r="C2" s="30"/>
      <c r="E2" s="47" t="s">
        <v>34</v>
      </c>
      <c r="F2" s="47"/>
      <c r="G2" s="47"/>
      <c r="H2" s="32"/>
      <c r="I2" s="32"/>
      <c r="J2" s="32"/>
      <c r="K2" s="32"/>
    </row>
    <row r="3" spans="1:11" ht="14.25" customHeight="1" x14ac:dyDescent="0.2">
      <c r="A3" s="29"/>
      <c r="B3" s="30"/>
      <c r="C3" s="30"/>
      <c r="E3" s="31"/>
      <c r="F3" s="31"/>
      <c r="G3" s="31"/>
      <c r="H3" s="32"/>
      <c r="I3" s="32"/>
      <c r="J3" s="32"/>
      <c r="K3" s="32"/>
    </row>
    <row r="4" spans="1:11" ht="36" x14ac:dyDescent="0.2">
      <c r="A4" s="33" t="s">
        <v>5</v>
      </c>
      <c r="B4" s="34" t="s">
        <v>6</v>
      </c>
      <c r="C4" s="34" t="s">
        <v>32</v>
      </c>
      <c r="D4" s="34" t="s">
        <v>14</v>
      </c>
      <c r="E4" s="34" t="s">
        <v>15</v>
      </c>
      <c r="F4" s="34" t="s">
        <v>16</v>
      </c>
      <c r="G4" s="34" t="s">
        <v>17</v>
      </c>
      <c r="H4" s="35" t="s">
        <v>18</v>
      </c>
      <c r="I4" s="35" t="s">
        <v>19</v>
      </c>
      <c r="J4" s="34" t="s">
        <v>20</v>
      </c>
      <c r="K4" s="36" t="s">
        <v>21</v>
      </c>
    </row>
    <row r="5" spans="1:11" x14ac:dyDescent="0.2">
      <c r="A5" s="37">
        <v>45901</v>
      </c>
      <c r="B5" s="18" t="s">
        <v>29</v>
      </c>
      <c r="C5" s="18">
        <v>25001</v>
      </c>
      <c r="D5" s="18" t="s">
        <v>31</v>
      </c>
      <c r="E5" s="16" t="s">
        <v>30</v>
      </c>
      <c r="F5" s="18">
        <v>72</v>
      </c>
      <c r="G5" s="18">
        <f>F5*0.6</f>
        <v>43.199999999999996</v>
      </c>
      <c r="H5" s="38">
        <v>0</v>
      </c>
      <c r="I5" s="38"/>
      <c r="J5" s="38"/>
      <c r="K5" s="38">
        <f>G5+H5+I5+J5</f>
        <v>43.199999999999996</v>
      </c>
    </row>
    <row r="6" spans="1:11" x14ac:dyDescent="0.2">
      <c r="A6" s="37"/>
      <c r="B6" s="18"/>
      <c r="C6" s="18"/>
      <c r="D6" s="16"/>
      <c r="E6" s="16"/>
      <c r="F6" s="18"/>
      <c r="G6" s="18"/>
      <c r="H6" s="38"/>
      <c r="I6" s="38"/>
      <c r="J6" s="38"/>
      <c r="K6" s="38"/>
    </row>
    <row r="7" spans="1:11" x14ac:dyDescent="0.2">
      <c r="A7" s="37"/>
      <c r="B7" s="18"/>
      <c r="C7" s="18"/>
      <c r="D7" s="16"/>
      <c r="E7" s="16"/>
      <c r="F7" s="18"/>
      <c r="G7" s="18"/>
      <c r="H7" s="38"/>
      <c r="I7" s="38"/>
      <c r="J7" s="38"/>
      <c r="K7" s="38"/>
    </row>
    <row r="8" spans="1:11" x14ac:dyDescent="0.2">
      <c r="A8" s="37"/>
      <c r="B8" s="18"/>
      <c r="C8" s="18"/>
      <c r="D8" s="16"/>
      <c r="E8" s="16"/>
      <c r="F8" s="18"/>
      <c r="G8" s="18"/>
      <c r="H8" s="38"/>
      <c r="I8" s="38"/>
      <c r="J8" s="38"/>
      <c r="K8" s="38"/>
    </row>
    <row r="9" spans="1:11" x14ac:dyDescent="0.2">
      <c r="A9" s="37"/>
      <c r="B9" s="18"/>
      <c r="C9" s="18"/>
      <c r="D9" s="16"/>
      <c r="E9" s="16"/>
      <c r="F9" s="18"/>
      <c r="G9" s="18"/>
      <c r="H9" s="38"/>
      <c r="I9" s="38"/>
      <c r="J9" s="38"/>
      <c r="K9" s="38"/>
    </row>
    <row r="10" spans="1:11" x14ac:dyDescent="0.2">
      <c r="A10" s="37"/>
      <c r="B10" s="18"/>
      <c r="C10" s="18"/>
      <c r="D10" s="16"/>
      <c r="E10" s="16"/>
      <c r="F10" s="18"/>
      <c r="G10" s="18"/>
      <c r="H10" s="38"/>
      <c r="I10" s="38"/>
      <c r="J10" s="38"/>
      <c r="K10" s="38"/>
    </row>
    <row r="11" spans="1:11" x14ac:dyDescent="0.2">
      <c r="A11" s="37"/>
      <c r="B11" s="18"/>
      <c r="C11" s="18"/>
      <c r="D11" s="16"/>
      <c r="E11" s="16"/>
      <c r="F11" s="18"/>
      <c r="G11" s="18"/>
      <c r="H11" s="38"/>
      <c r="I11" s="38"/>
      <c r="J11" s="38"/>
      <c r="K11" s="38"/>
    </row>
    <row r="12" spans="1:11" x14ac:dyDescent="0.2">
      <c r="A12" s="37"/>
      <c r="B12" s="18"/>
      <c r="C12" s="18"/>
      <c r="D12" s="16"/>
      <c r="E12" s="16"/>
      <c r="F12" s="18"/>
      <c r="G12" s="18"/>
      <c r="H12" s="38"/>
      <c r="I12" s="38"/>
      <c r="J12" s="38"/>
      <c r="K12" s="38"/>
    </row>
    <row r="13" spans="1:11" x14ac:dyDescent="0.2">
      <c r="A13" s="37"/>
      <c r="B13" s="18"/>
      <c r="C13" s="18"/>
      <c r="D13" s="16"/>
      <c r="E13" s="16"/>
      <c r="F13" s="18"/>
      <c r="G13" s="18"/>
      <c r="H13" s="38"/>
      <c r="I13" s="38"/>
      <c r="J13" s="38"/>
      <c r="K13" s="38"/>
    </row>
    <row r="14" spans="1:11" x14ac:dyDescent="0.2">
      <c r="A14" s="37"/>
      <c r="B14" s="18"/>
      <c r="C14" s="18"/>
      <c r="D14" s="16"/>
      <c r="E14" s="16"/>
      <c r="F14" s="18"/>
      <c r="G14" s="18"/>
      <c r="H14" s="38"/>
      <c r="I14" s="38"/>
      <c r="J14" s="38"/>
      <c r="K14" s="38"/>
    </row>
    <row r="15" spans="1:11" x14ac:dyDescent="0.2">
      <c r="A15" s="37"/>
      <c r="B15" s="18"/>
      <c r="C15" s="18"/>
      <c r="D15" s="16"/>
      <c r="E15" s="16"/>
      <c r="F15" s="18"/>
      <c r="G15" s="18"/>
      <c r="H15" s="38"/>
      <c r="I15" s="38"/>
      <c r="J15" s="38"/>
      <c r="K15" s="38"/>
    </row>
    <row r="16" spans="1:11" x14ac:dyDescent="0.2">
      <c r="A16" s="37"/>
      <c r="B16" s="18"/>
      <c r="C16" s="18"/>
      <c r="D16" s="16"/>
      <c r="E16" s="16"/>
      <c r="F16" s="18"/>
      <c r="G16" s="18"/>
      <c r="H16" s="38"/>
      <c r="I16" s="38"/>
      <c r="J16" s="38"/>
      <c r="K16" s="38"/>
    </row>
    <row r="17" spans="1:11" x14ac:dyDescent="0.2">
      <c r="A17" s="37"/>
      <c r="B17" s="18"/>
      <c r="C17" s="18"/>
      <c r="D17" s="16"/>
      <c r="E17" s="16"/>
      <c r="F17" s="18"/>
      <c r="G17" s="18"/>
      <c r="H17" s="38"/>
      <c r="I17" s="38"/>
      <c r="J17" s="38"/>
      <c r="K17" s="38"/>
    </row>
    <row r="18" spans="1:11" x14ac:dyDescent="0.2">
      <c r="A18" s="37"/>
      <c r="B18" s="18"/>
      <c r="C18" s="18"/>
      <c r="D18" s="16"/>
      <c r="E18" s="16"/>
      <c r="F18" s="18"/>
      <c r="G18" s="18"/>
      <c r="H18" s="38"/>
      <c r="I18" s="38"/>
      <c r="J18" s="38"/>
      <c r="K18" s="38"/>
    </row>
    <row r="19" spans="1:11" x14ac:dyDescent="0.2">
      <c r="A19" s="37"/>
      <c r="B19" s="18"/>
      <c r="C19" s="18"/>
      <c r="D19" s="16"/>
      <c r="E19" s="16"/>
      <c r="F19" s="18"/>
      <c r="G19" s="18"/>
      <c r="H19" s="38"/>
      <c r="I19" s="38"/>
      <c r="J19" s="38"/>
      <c r="K19" s="38"/>
    </row>
    <row r="20" spans="1:11" x14ac:dyDescent="0.2">
      <c r="A20" s="37"/>
      <c r="B20" s="18"/>
      <c r="C20" s="18"/>
      <c r="D20" s="16"/>
      <c r="E20" s="16"/>
      <c r="F20" s="18"/>
      <c r="G20" s="18"/>
      <c r="H20" s="38"/>
      <c r="I20" s="38"/>
      <c r="J20" s="38"/>
      <c r="K20" s="38"/>
    </row>
    <row r="21" spans="1:11" x14ac:dyDescent="0.2">
      <c r="A21" s="37"/>
      <c r="B21" s="18"/>
      <c r="C21" s="18"/>
      <c r="D21" s="16"/>
      <c r="E21" s="16"/>
      <c r="F21" s="18"/>
      <c r="G21" s="18"/>
      <c r="H21" s="38"/>
      <c r="I21" s="38"/>
      <c r="J21" s="38"/>
      <c r="K21" s="38"/>
    </row>
    <row r="22" spans="1:11" x14ac:dyDescent="0.2">
      <c r="A22" s="37"/>
      <c r="B22" s="18"/>
      <c r="C22" s="18"/>
      <c r="D22" s="16"/>
      <c r="E22" s="16"/>
      <c r="F22" s="18"/>
      <c r="G22" s="18"/>
      <c r="H22" s="38"/>
      <c r="I22" s="38"/>
      <c r="J22" s="38"/>
      <c r="K22" s="38"/>
    </row>
    <row r="23" spans="1:11" x14ac:dyDescent="0.2">
      <c r="A23" s="37"/>
      <c r="B23" s="18"/>
      <c r="C23" s="18"/>
      <c r="D23" s="16"/>
      <c r="E23" s="16"/>
      <c r="F23" s="18"/>
      <c r="G23" s="18"/>
      <c r="H23" s="38"/>
      <c r="I23" s="38"/>
      <c r="J23" s="38"/>
      <c r="K23" s="38"/>
    </row>
    <row r="24" spans="1:11" x14ac:dyDescent="0.2">
      <c r="A24" s="37"/>
      <c r="B24" s="18"/>
      <c r="C24" s="18"/>
      <c r="D24" s="16"/>
      <c r="E24" s="16"/>
      <c r="F24" s="18"/>
      <c r="G24" s="18"/>
      <c r="H24" s="38"/>
      <c r="I24" s="38"/>
      <c r="J24" s="38"/>
      <c r="K24" s="38"/>
    </row>
    <row r="25" spans="1:11" x14ac:dyDescent="0.2">
      <c r="A25" s="37"/>
      <c r="B25" s="18"/>
      <c r="C25" s="18"/>
      <c r="D25" s="16"/>
      <c r="E25" s="16"/>
      <c r="F25" s="18"/>
      <c r="G25" s="18"/>
      <c r="H25" s="38"/>
      <c r="I25" s="38"/>
      <c r="J25" s="38"/>
      <c r="K25" s="38"/>
    </row>
    <row r="26" spans="1:11" ht="12.75" thickBot="1" x14ac:dyDescent="0.25">
      <c r="A26" s="37"/>
      <c r="B26" s="18"/>
      <c r="C26" s="18"/>
      <c r="D26" s="16"/>
      <c r="E26" s="16"/>
      <c r="F26" s="18"/>
      <c r="G26" s="18"/>
      <c r="H26" s="39"/>
      <c r="I26" s="39"/>
      <c r="J26" s="39"/>
      <c r="K26" s="38"/>
    </row>
    <row r="27" spans="1:11" ht="12.75" thickBot="1" x14ac:dyDescent="0.25">
      <c r="A27" s="40"/>
      <c r="B27" s="41"/>
      <c r="C27" s="41"/>
      <c r="D27" s="41"/>
      <c r="E27" s="41"/>
      <c r="F27" s="42"/>
      <c r="G27" s="43">
        <f>SUM(G5:G26)</f>
        <v>43.199999999999996</v>
      </c>
      <c r="H27" s="43">
        <f>SUM(H5:H26)</f>
        <v>0</v>
      </c>
      <c r="I27" s="43">
        <f>SUM(I5:I26)</f>
        <v>0</v>
      </c>
      <c r="J27" s="43">
        <f>SUM(J5:J26)</f>
        <v>0</v>
      </c>
      <c r="K27" s="44">
        <f>0.6*F27+H27+I27+J27</f>
        <v>0</v>
      </c>
    </row>
    <row r="29" spans="1:11" x14ac:dyDescent="0.2">
      <c r="A29" s="1" t="s">
        <v>22</v>
      </c>
    </row>
    <row r="31" spans="1:11" x14ac:dyDescent="0.2">
      <c r="A31" s="1" t="s">
        <v>23</v>
      </c>
      <c r="B31" s="45"/>
      <c r="C31" s="45"/>
      <c r="D31" s="45"/>
      <c r="F31" s="1" t="s">
        <v>27</v>
      </c>
      <c r="I31" s="45"/>
      <c r="J31" s="45"/>
      <c r="K31" s="45"/>
    </row>
    <row r="32" spans="1:11" x14ac:dyDescent="0.2">
      <c r="B32" s="28" t="s">
        <v>25</v>
      </c>
      <c r="I32" s="1" t="s">
        <v>28</v>
      </c>
    </row>
  </sheetData>
  <mergeCells count="1">
    <mergeCell ref="E2:G2"/>
  </mergeCells>
  <pageMargins left="0.7" right="0.7" top="0.75" bottom="0.75" header="0.3" footer="0.3"/>
  <pageSetup paperSize="9" fitToHeight="0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6091D8D6D91E5E4BB1B515D4FC425DEB" ma:contentTypeVersion="12" ma:contentTypeDescription="Ein neues Dokument erstellen." ma:contentTypeScope="" ma:versionID="146660168cd7c35c9a6e480f5e1ba6d2">
  <xsd:schema xmlns:xsd="http://www.w3.org/2001/XMLSchema" xmlns:xs="http://www.w3.org/2001/XMLSchema" xmlns:p="http://schemas.microsoft.com/office/2006/metadata/properties" xmlns:ns2="f2c7b238-543e-45cc-a364-85b820444032" xmlns:ns3="1e1484ab-78a3-4222-862b-d2b700dbffac" targetNamespace="http://schemas.microsoft.com/office/2006/metadata/properties" ma:root="true" ma:fieldsID="fcfcf7087c8835824fcb49cc78fa7043" ns2:_="" ns3:_="">
    <xsd:import namespace="f2c7b238-543e-45cc-a364-85b820444032"/>
    <xsd:import namespace="1e1484ab-78a3-4222-862b-d2b700dbffa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c7b238-543e-45cc-a364-85b82044403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ildmarkierungen" ma:readOnly="false" ma:fieldId="{5cf76f15-5ced-4ddc-b409-7134ff3c332f}" ma:taxonomyMulti="true" ma:sspId="fa18fd6c-c823-41e0-aaee-64af5b13c98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19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1484ab-78a3-4222-862b-d2b700dbffac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3c1bd718-7283-4c98-b656-6dee162c311c}" ma:internalName="TaxCatchAll" ma:showField="CatchAllData" ma:web="1e1484ab-78a3-4222-862b-d2b700dbff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e1484ab-78a3-4222-862b-d2b700dbffac" xsi:nil="true"/>
    <lcf76f155ced4ddcb4097134ff3c332f xmlns="f2c7b238-543e-45cc-a364-85b820444032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36AEC74-1B69-418E-9BD0-7DFC8FD1CD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2c7b238-543e-45cc-a364-85b820444032"/>
    <ds:schemaRef ds:uri="1e1484ab-78a3-4222-862b-d2b700dbffa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2C69C0-CDCE-4DD4-AEEE-1BF53F68C02C}">
  <ds:schemaRefs>
    <ds:schemaRef ds:uri="http://schemas.microsoft.com/office/2006/metadata/properties"/>
    <ds:schemaRef ds:uri="http://schemas.microsoft.com/office/infopath/2007/PartnerControls"/>
    <ds:schemaRef ds:uri="f08f96ec-e9c8-4e59-91c5-bcbd5ab6fb3f"/>
    <ds:schemaRef ds:uri="015c9c3a-778d-4125-8302-ad24d5810891"/>
    <ds:schemaRef ds:uri="1e1484ab-78a3-4222-862b-d2b700dbffac"/>
    <ds:schemaRef ds:uri="f2c7b238-543e-45cc-a364-85b820444032"/>
  </ds:schemaRefs>
</ds:datastoreItem>
</file>

<file path=customXml/itemProps3.xml><?xml version="1.0" encoding="utf-8"?>
<ds:datastoreItem xmlns:ds="http://schemas.openxmlformats.org/officeDocument/2006/customXml" ds:itemID="{7C4F7A4F-AC35-455C-A8DE-B41D53A330A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</vt:i4>
      </vt:variant>
    </vt:vector>
  </HeadingPairs>
  <TitlesOfParts>
    <vt:vector size="4" baseType="lpstr">
      <vt:lpstr>XQT5-LN</vt:lpstr>
      <vt:lpstr>Fak.RK</vt:lpstr>
      <vt:lpstr>Fak.RK!Druckbereich</vt:lpstr>
      <vt:lpstr>'XQT5-LN'!Druckbereich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2006-09-16T00:00:00Z</dcterms:created>
  <dcterms:modified xsi:type="dcterms:W3CDTF">2025-10-17T13:10:17Z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0x0101006091D8D6D91E5E4BB1B515D4FC425DEB</vt:lpwstr>
  </property>
  <property fmtid="{D5CDD505-2E9C-101B-9397-08002B2CF9AE}" pid="3" name="MediaServiceImageTags">
    <vt:lpwstr/>
  </property>
</Properties>
</file>